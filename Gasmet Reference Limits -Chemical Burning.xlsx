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david_huang_nea_gov_sg/Documents/Documents/IES/"/>
    </mc:Choice>
  </mc:AlternateContent>
  <xr:revisionPtr revIDLastSave="1" documentId="8_{BA52C9F3-5E17-4219-93E9-87B41988A3BC}" xr6:coauthVersionLast="47" xr6:coauthVersionMax="47" xr10:uidLastSave="{01D36F25-4237-477D-BF5D-624163C5DD72}"/>
  <bookViews>
    <workbookView xWindow="-110" yWindow="-110" windowWidth="19420" windowHeight="11500" xr2:uid="{00000000-000D-0000-FFFF-FFFF00000000}"/>
  </bookViews>
  <sheets>
    <sheet name="Chemical Bur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4" i="1"/>
  <c r="L21" i="1"/>
  <c r="L18" i="1"/>
  <c r="L5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9" i="1"/>
  <c r="L20" i="1"/>
  <c r="L3" i="1"/>
  <c r="K21" i="1"/>
  <c r="K18" i="1"/>
  <c r="K5" i="1"/>
  <c r="K3" i="1"/>
  <c r="K6" i="1"/>
  <c r="K7" i="1"/>
  <c r="K8" i="1"/>
  <c r="K9" i="1"/>
  <c r="K10" i="1"/>
  <c r="K11" i="1"/>
  <c r="K12" i="1"/>
  <c r="K13" i="1"/>
  <c r="K14" i="1"/>
  <c r="K15" i="1"/>
  <c r="K16" i="1"/>
  <c r="K17" i="1"/>
  <c r="K19" i="1"/>
  <c r="K20" i="1"/>
</calcChain>
</file>

<file path=xl/sharedStrings.xml><?xml version="1.0" encoding="utf-8"?>
<sst xmlns="http://schemas.openxmlformats.org/spreadsheetml/2006/main" count="103" uniqueCount="69">
  <si>
    <t>Chemical Name</t>
  </si>
  <si>
    <t>Remarks</t>
  </si>
  <si>
    <t>Water Vapour</t>
  </si>
  <si>
    <t>-</t>
  </si>
  <si>
    <t>Carbon Dioxide</t>
  </si>
  <si>
    <t>Carbon Monoxide</t>
  </si>
  <si>
    <t>Nitrous Oxide</t>
  </si>
  <si>
    <t>50ppm (TWA-8hr)</t>
  </si>
  <si>
    <t>Acrolein</t>
  </si>
  <si>
    <t>Phenol</t>
  </si>
  <si>
    <t>Styrene</t>
  </si>
  <si>
    <t>M-Xylene</t>
  </si>
  <si>
    <t>P-Xylene</t>
  </si>
  <si>
    <t>O-Xylene</t>
  </si>
  <si>
    <t>Ammonia</t>
  </si>
  <si>
    <t>Benzene</t>
  </si>
  <si>
    <t>Crotonaldehyde</t>
  </si>
  <si>
    <t>0.3 ppm</t>
  </si>
  <si>
    <t>Formaldehyde</t>
  </si>
  <si>
    <t>Hydrogen Chloride</t>
  </si>
  <si>
    <t>Hydrogen Fluoride</t>
  </si>
  <si>
    <t>Naphthalene</t>
  </si>
  <si>
    <t>Ethyl Benzene</t>
  </si>
  <si>
    <t>Toluene</t>
  </si>
  <si>
    <t>Ethylene</t>
  </si>
  <si>
    <t>200ppm (TWA-8hr)</t>
  </si>
  <si>
    <t>20 ppm</t>
  </si>
  <si>
    <t>1 ppm</t>
  </si>
  <si>
    <t>0.03 ppm</t>
  </si>
  <si>
    <t>0.1 ppm</t>
  </si>
  <si>
    <t>10 ppm</t>
  </si>
  <si>
    <t>200 ppm</t>
  </si>
  <si>
    <t>AEGL1 (10 min)</t>
  </si>
  <si>
    <t>ACGIH TLV-TWA (8 hr)</t>
  </si>
  <si>
    <t>25 ppm</t>
  </si>
  <si>
    <t>5000 ppm</t>
  </si>
  <si>
    <t>50 ppm</t>
  </si>
  <si>
    <t>67 ppm</t>
  </si>
  <si>
    <t>30 ppm</t>
  </si>
  <si>
    <t>5 ppm</t>
  </si>
  <si>
    <t>1.8 ppm</t>
  </si>
  <si>
    <t>0.5 ppm</t>
  </si>
  <si>
    <t>10ppm (TWA-8hr)</t>
  </si>
  <si>
    <t>100 ppm</t>
  </si>
  <si>
    <t>19 ppm</t>
  </si>
  <si>
    <t>130 ppm</t>
  </si>
  <si>
    <t>130ppm</t>
  </si>
  <si>
    <t>0.19 ppm</t>
  </si>
  <si>
    <t>0.9 ppm</t>
  </si>
  <si>
    <t>33 ppm</t>
  </si>
  <si>
    <r>
      <t>1</t>
    </r>
    <r>
      <rPr>
        <b/>
        <vertAlign val="superscript"/>
        <sz val="18"/>
        <color rgb="FFFFFFFF"/>
        <rFont val="Calibri"/>
        <family val="2"/>
      </rPr>
      <t>st</t>
    </r>
    <r>
      <rPr>
        <b/>
        <sz val="18"/>
        <color rgb="FFFFFFFF"/>
        <rFont val="Calibri"/>
        <family val="2"/>
      </rPr>
      <t xml:space="preserve"> reading (ppm)</t>
    </r>
  </si>
  <si>
    <r>
      <t>2</t>
    </r>
    <r>
      <rPr>
        <b/>
        <vertAlign val="superscript"/>
        <sz val="18"/>
        <color rgb="FFFFFFFF"/>
        <rFont val="Calibri"/>
        <family val="2"/>
      </rPr>
      <t>nd</t>
    </r>
    <r>
      <rPr>
        <b/>
        <sz val="18"/>
        <color rgb="FFFFFFFF"/>
        <rFont val="Calibri"/>
        <family val="2"/>
      </rPr>
      <t xml:space="preserve"> reading (ppm)</t>
    </r>
  </si>
  <si>
    <t>AEGL2 (10 min) (ppm)</t>
  </si>
  <si>
    <t>ACGIH TLV-STEL (15 min) (ppm)</t>
  </si>
  <si>
    <t>Safety Level Limit</t>
  </si>
  <si>
    <t>Standard Liner to be Reported</t>
  </si>
  <si>
    <t>White</t>
  </si>
  <si>
    <t>&lt;20%</t>
  </si>
  <si>
    <t>Well Below Safety Level</t>
  </si>
  <si>
    <t>Green</t>
  </si>
  <si>
    <t>20 to &lt;50%</t>
  </si>
  <si>
    <t>Below Safety Level</t>
  </si>
  <si>
    <t>Orange</t>
  </si>
  <si>
    <t>50 to &lt;100%</t>
  </si>
  <si>
    <t>Approaching Safety Level</t>
  </si>
  <si>
    <t>Red</t>
  </si>
  <si>
    <t>100% and above</t>
  </si>
  <si>
    <t>Exceeding Safety Level</t>
  </si>
  <si>
    <t>Colour Code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</si>
</sst>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8"/>
      <color rgb="FFFFFFFF"/>
      <name val="Calibri"/>
      <family val="2"/>
    </font>
    <font>
      <b/>
      <vertAlign val="superscript"/>
      <sz val="18"/>
      <color rgb="FFFFFFFF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3" borderId="2" xfId="0" quotePrefix="1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4" borderId="3" xfId="0" quotePrefix="1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3" xfId="0" quotePrefix="1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top" wrapText="1"/>
    </xf>
    <xf numFmtId="2" fontId="0" fillId="0" borderId="0" xfId="0" applyNumberFormat="1"/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 readingOrder="1"/>
    </xf>
    <xf numFmtId="0" fontId="5" fillId="8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8"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theme="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22</xdr:row>
      <xdr:rowOff>0</xdr:rowOff>
    </xdr:from>
    <xdr:to>
      <xdr:col>3</xdr:col>
      <xdr:colOff>1667773</xdr:colOff>
      <xdr:row>24</xdr:row>
      <xdr:rowOff>46185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5C24D-4265-4B8B-8D4B-C410D34F2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353735"/>
          <a:ext cx="7451912" cy="974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Normal="100" workbookViewId="0">
      <selection activeCell="B4" sqref="B4"/>
    </sheetView>
  </sheetViews>
  <sheetFormatPr defaultRowHeight="14.5" x14ac:dyDescent="0.35"/>
  <cols>
    <col min="1" max="1" width="34.81640625" customWidth="1"/>
    <col min="2" max="2" width="25" customWidth="1"/>
    <col min="3" max="5" width="24.54296875" customWidth="1"/>
    <col min="6" max="6" width="24.81640625" customWidth="1"/>
    <col min="7" max="7" width="28.08984375" customWidth="1"/>
    <col min="8" max="8" width="31.90625" customWidth="1"/>
    <col min="10" max="11" width="11.08984375" customWidth="1"/>
    <col min="12" max="12" width="11.36328125" customWidth="1"/>
  </cols>
  <sheetData>
    <row r="1" spans="1:12" ht="51" thickBot="1" x14ac:dyDescent="0.4">
      <c r="A1" s="1" t="s">
        <v>0</v>
      </c>
      <c r="B1" s="1" t="s">
        <v>50</v>
      </c>
      <c r="C1" s="1" t="s">
        <v>51</v>
      </c>
      <c r="D1" s="2" t="s">
        <v>52</v>
      </c>
      <c r="E1" s="1" t="s">
        <v>53</v>
      </c>
      <c r="F1" s="1" t="s">
        <v>33</v>
      </c>
      <c r="G1" s="1" t="s">
        <v>32</v>
      </c>
      <c r="H1" s="1" t="s">
        <v>1</v>
      </c>
      <c r="K1" s="14"/>
    </row>
    <row r="2" spans="1:12" ht="23.5" thickTop="1" thickBot="1" x14ac:dyDescent="0.4">
      <c r="A2" s="3" t="s">
        <v>2</v>
      </c>
      <c r="B2" s="22">
        <v>2.9</v>
      </c>
      <c r="C2" s="22">
        <v>3.11</v>
      </c>
      <c r="D2" s="4" t="s">
        <v>3</v>
      </c>
      <c r="E2" s="3" t="s">
        <v>3</v>
      </c>
      <c r="F2" s="5" t="s">
        <v>3</v>
      </c>
      <c r="G2" s="5" t="s">
        <v>3</v>
      </c>
      <c r="H2" s="6"/>
      <c r="J2" s="14">
        <v>20000</v>
      </c>
      <c r="K2" s="14">
        <v>100000</v>
      </c>
      <c r="L2" s="14">
        <v>200000</v>
      </c>
    </row>
    <row r="3" spans="1:12" ht="23" thickBot="1" x14ac:dyDescent="0.4">
      <c r="A3" s="7" t="s">
        <v>4</v>
      </c>
      <c r="B3" s="23">
        <v>496.2</v>
      </c>
      <c r="C3" s="23">
        <v>473.65</v>
      </c>
      <c r="D3" s="8" t="s">
        <v>3</v>
      </c>
      <c r="E3" s="7">
        <v>30000</v>
      </c>
      <c r="F3" s="7" t="s">
        <v>35</v>
      </c>
      <c r="G3" s="9" t="s">
        <v>3</v>
      </c>
      <c r="H3" s="10"/>
      <c r="J3" s="14">
        <f>0.2*E3</f>
        <v>6000</v>
      </c>
      <c r="K3" s="14">
        <f>0.5*E3</f>
        <v>15000</v>
      </c>
      <c r="L3" t="str">
        <f>D3</f>
        <v>-</v>
      </c>
    </row>
    <row r="4" spans="1:12" ht="23" thickBot="1" x14ac:dyDescent="0.4">
      <c r="A4" s="11" t="s">
        <v>5</v>
      </c>
      <c r="B4" s="23">
        <v>400</v>
      </c>
      <c r="C4" s="23">
        <v>220</v>
      </c>
      <c r="D4" s="8">
        <v>420</v>
      </c>
      <c r="E4" s="12" t="s">
        <v>3</v>
      </c>
      <c r="F4" s="11" t="s">
        <v>34</v>
      </c>
      <c r="G4" s="12" t="s">
        <v>3</v>
      </c>
      <c r="H4" s="13"/>
      <c r="J4" s="14">
        <f>0.2*D4</f>
        <v>84</v>
      </c>
      <c r="K4" s="14">
        <f t="shared" ref="K4:K20" si="0">0.5*D4</f>
        <v>210</v>
      </c>
      <c r="L4">
        <f t="shared" ref="L4:L20" si="1">D4</f>
        <v>420</v>
      </c>
    </row>
    <row r="5" spans="1:12" ht="15" thickBot="1" x14ac:dyDescent="0.4">
      <c r="A5" s="7" t="s">
        <v>6</v>
      </c>
      <c r="B5" s="23">
        <v>0.25</v>
      </c>
      <c r="C5" s="23">
        <v>0.28999999999999998</v>
      </c>
      <c r="D5" s="8" t="s">
        <v>3</v>
      </c>
      <c r="E5" s="7" t="s">
        <v>3</v>
      </c>
      <c r="F5" s="7" t="s">
        <v>36</v>
      </c>
      <c r="G5" s="9" t="s">
        <v>3</v>
      </c>
      <c r="H5" s="7" t="s">
        <v>7</v>
      </c>
      <c r="J5" s="14">
        <f>0.2*L5</f>
        <v>10</v>
      </c>
      <c r="K5" s="14">
        <f>0.5*50</f>
        <v>25</v>
      </c>
      <c r="L5">
        <f>50</f>
        <v>50</v>
      </c>
    </row>
    <row r="6" spans="1:12" ht="23" thickBot="1" x14ac:dyDescent="0.4">
      <c r="A6" s="11" t="s">
        <v>8</v>
      </c>
      <c r="B6" s="23">
        <v>0</v>
      </c>
      <c r="C6" s="23">
        <v>0.05</v>
      </c>
      <c r="D6" s="8">
        <v>0.44</v>
      </c>
      <c r="E6" s="12" t="s">
        <v>3</v>
      </c>
      <c r="F6" s="12" t="s">
        <v>3</v>
      </c>
      <c r="G6" s="12" t="s">
        <v>28</v>
      </c>
      <c r="H6" s="13"/>
      <c r="J6" s="14">
        <f t="shared" ref="J6:J17" si="2">0.2*D6</f>
        <v>8.8000000000000009E-2</v>
      </c>
      <c r="K6" s="14">
        <f t="shared" si="0"/>
        <v>0.22</v>
      </c>
      <c r="L6">
        <f t="shared" si="1"/>
        <v>0.44</v>
      </c>
    </row>
    <row r="7" spans="1:12" ht="23" thickBot="1" x14ac:dyDescent="0.4">
      <c r="A7" s="7" t="s">
        <v>9</v>
      </c>
      <c r="B7" s="23">
        <v>0</v>
      </c>
      <c r="C7" s="23">
        <v>0</v>
      </c>
      <c r="D7" s="8">
        <v>29</v>
      </c>
      <c r="E7" s="7" t="s">
        <v>3</v>
      </c>
      <c r="F7" s="7" t="s">
        <v>39</v>
      </c>
      <c r="G7" s="7" t="s">
        <v>44</v>
      </c>
      <c r="H7" s="10"/>
      <c r="J7" s="14">
        <f t="shared" si="2"/>
        <v>5.8000000000000007</v>
      </c>
      <c r="K7" s="14">
        <f t="shared" si="0"/>
        <v>14.5</v>
      </c>
      <c r="L7">
        <f t="shared" si="1"/>
        <v>29</v>
      </c>
    </row>
    <row r="8" spans="1:12" ht="23" thickBot="1" x14ac:dyDescent="0.4">
      <c r="A8" s="11" t="s">
        <v>10</v>
      </c>
      <c r="B8" s="23">
        <v>0</v>
      </c>
      <c r="C8" s="23">
        <v>0</v>
      </c>
      <c r="D8" s="8">
        <v>230</v>
      </c>
      <c r="E8" s="11">
        <v>40</v>
      </c>
      <c r="F8" s="11" t="s">
        <v>26</v>
      </c>
      <c r="G8" s="11" t="s">
        <v>26</v>
      </c>
      <c r="H8" s="13"/>
      <c r="J8" s="14">
        <f t="shared" si="2"/>
        <v>46</v>
      </c>
      <c r="K8" s="14">
        <f t="shared" si="0"/>
        <v>115</v>
      </c>
      <c r="L8">
        <f t="shared" si="1"/>
        <v>230</v>
      </c>
    </row>
    <row r="9" spans="1:12" ht="23" thickBot="1" x14ac:dyDescent="0.4">
      <c r="A9" s="7" t="s">
        <v>11</v>
      </c>
      <c r="B9" s="23">
        <v>0.15</v>
      </c>
      <c r="C9" s="23">
        <v>0.1</v>
      </c>
      <c r="D9" s="8">
        <v>2500</v>
      </c>
      <c r="E9" s="7">
        <v>150</v>
      </c>
      <c r="F9" s="7" t="s">
        <v>43</v>
      </c>
      <c r="G9" s="7" t="s">
        <v>45</v>
      </c>
      <c r="H9" s="10"/>
      <c r="J9" s="14">
        <f t="shared" si="2"/>
        <v>500</v>
      </c>
      <c r="K9" s="14">
        <f t="shared" si="0"/>
        <v>1250</v>
      </c>
      <c r="L9">
        <f t="shared" si="1"/>
        <v>2500</v>
      </c>
    </row>
    <row r="10" spans="1:12" ht="23" thickBot="1" x14ac:dyDescent="0.4">
      <c r="A10" s="11" t="s">
        <v>12</v>
      </c>
      <c r="B10" s="23">
        <v>0</v>
      </c>
      <c r="C10" s="23">
        <v>0</v>
      </c>
      <c r="D10" s="8">
        <v>2500</v>
      </c>
      <c r="E10" s="11">
        <v>150</v>
      </c>
      <c r="F10" s="11" t="s">
        <v>43</v>
      </c>
      <c r="G10" s="11" t="s">
        <v>45</v>
      </c>
      <c r="H10" s="13"/>
      <c r="J10" s="14">
        <f t="shared" si="2"/>
        <v>500</v>
      </c>
      <c r="K10" s="14">
        <f t="shared" si="0"/>
        <v>1250</v>
      </c>
      <c r="L10">
        <f t="shared" si="1"/>
        <v>2500</v>
      </c>
    </row>
    <row r="11" spans="1:12" ht="23" thickBot="1" x14ac:dyDescent="0.4">
      <c r="A11" s="7" t="s">
        <v>13</v>
      </c>
      <c r="B11" s="23">
        <v>0.35</v>
      </c>
      <c r="C11" s="23">
        <v>0.24</v>
      </c>
      <c r="D11" s="8">
        <v>2500</v>
      </c>
      <c r="E11" s="7">
        <v>150</v>
      </c>
      <c r="F11" s="7" t="s">
        <v>43</v>
      </c>
      <c r="G11" s="7" t="s">
        <v>46</v>
      </c>
      <c r="H11" s="10"/>
      <c r="J11" s="14">
        <f t="shared" si="2"/>
        <v>500</v>
      </c>
      <c r="K11" s="14">
        <f t="shared" si="0"/>
        <v>1250</v>
      </c>
      <c r="L11">
        <f t="shared" si="1"/>
        <v>2500</v>
      </c>
    </row>
    <row r="12" spans="1:12" ht="23" thickBot="1" x14ac:dyDescent="0.4">
      <c r="A12" s="11" t="s">
        <v>14</v>
      </c>
      <c r="B12" s="23">
        <v>0.09</v>
      </c>
      <c r="C12" s="23">
        <v>7.0000000000000007E-2</v>
      </c>
      <c r="D12" s="8">
        <v>220</v>
      </c>
      <c r="E12" s="11">
        <v>35</v>
      </c>
      <c r="F12" s="11" t="s">
        <v>34</v>
      </c>
      <c r="G12" s="11" t="s">
        <v>38</v>
      </c>
      <c r="H12" s="13"/>
      <c r="J12" s="14">
        <f t="shared" si="2"/>
        <v>44</v>
      </c>
      <c r="K12" s="14">
        <f t="shared" si="0"/>
        <v>110</v>
      </c>
      <c r="L12">
        <f t="shared" si="1"/>
        <v>220</v>
      </c>
    </row>
    <row r="13" spans="1:12" ht="23" thickBot="1" x14ac:dyDescent="0.4">
      <c r="A13" s="7" t="s">
        <v>15</v>
      </c>
      <c r="B13" s="23">
        <v>0</v>
      </c>
      <c r="C13" s="23">
        <v>0</v>
      </c>
      <c r="D13" s="8">
        <v>2000</v>
      </c>
      <c r="E13" s="7">
        <v>2.5</v>
      </c>
      <c r="F13" s="7" t="s">
        <v>41</v>
      </c>
      <c r="G13" s="7" t="s">
        <v>45</v>
      </c>
      <c r="H13" s="10"/>
      <c r="J13" s="14">
        <f t="shared" si="2"/>
        <v>400</v>
      </c>
      <c r="K13" s="14">
        <f t="shared" si="0"/>
        <v>1000</v>
      </c>
      <c r="L13">
        <f t="shared" si="1"/>
        <v>2000</v>
      </c>
    </row>
    <row r="14" spans="1:12" ht="23" thickBot="1" x14ac:dyDescent="0.4">
      <c r="A14" s="11" t="s">
        <v>16</v>
      </c>
      <c r="B14" s="23">
        <v>0</v>
      </c>
      <c r="C14" s="23">
        <v>7.0000000000000007E-2</v>
      </c>
      <c r="D14" s="8">
        <v>27</v>
      </c>
      <c r="E14" s="12" t="s">
        <v>3</v>
      </c>
      <c r="F14" s="11" t="s">
        <v>17</v>
      </c>
      <c r="G14" s="11" t="s">
        <v>47</v>
      </c>
      <c r="H14" s="13"/>
      <c r="J14" s="14">
        <f t="shared" si="2"/>
        <v>5.4</v>
      </c>
      <c r="K14" s="14">
        <f t="shared" si="0"/>
        <v>13.5</v>
      </c>
      <c r="L14">
        <f t="shared" si="1"/>
        <v>27</v>
      </c>
    </row>
    <row r="15" spans="1:12" ht="23" thickBot="1" x14ac:dyDescent="0.4">
      <c r="A15" s="7" t="s">
        <v>18</v>
      </c>
      <c r="B15" s="23">
        <v>0</v>
      </c>
      <c r="C15" s="23">
        <v>0.01</v>
      </c>
      <c r="D15" s="8">
        <v>14</v>
      </c>
      <c r="E15" s="7">
        <v>0.3</v>
      </c>
      <c r="F15" s="7" t="s">
        <v>29</v>
      </c>
      <c r="G15" s="7" t="s">
        <v>48</v>
      </c>
      <c r="H15" s="10"/>
      <c r="J15" s="14">
        <f t="shared" si="2"/>
        <v>2.8000000000000003</v>
      </c>
      <c r="K15" s="14">
        <f t="shared" si="0"/>
        <v>7</v>
      </c>
      <c r="L15">
        <f t="shared" si="1"/>
        <v>14</v>
      </c>
    </row>
    <row r="16" spans="1:12" ht="23" thickBot="1" x14ac:dyDescent="0.4">
      <c r="A16" s="11" t="s">
        <v>19</v>
      </c>
      <c r="B16" s="23">
        <v>0</v>
      </c>
      <c r="C16" s="23">
        <v>0</v>
      </c>
      <c r="D16" s="8">
        <v>100</v>
      </c>
      <c r="E16" s="12" t="s">
        <v>3</v>
      </c>
      <c r="F16" s="12" t="s">
        <v>3</v>
      </c>
      <c r="G16" s="11" t="s">
        <v>40</v>
      </c>
      <c r="H16" s="13"/>
      <c r="J16" s="14">
        <f t="shared" si="2"/>
        <v>20</v>
      </c>
      <c r="K16" s="14">
        <f t="shared" si="0"/>
        <v>50</v>
      </c>
      <c r="L16">
        <f t="shared" si="1"/>
        <v>100</v>
      </c>
    </row>
    <row r="17" spans="1:12" ht="23" thickBot="1" x14ac:dyDescent="0.4">
      <c r="A17" s="7" t="s">
        <v>20</v>
      </c>
      <c r="B17" s="23">
        <v>0</v>
      </c>
      <c r="C17" s="23">
        <v>0</v>
      </c>
      <c r="D17" s="8">
        <v>95</v>
      </c>
      <c r="E17" s="9" t="s">
        <v>3</v>
      </c>
      <c r="F17" s="7" t="s">
        <v>41</v>
      </c>
      <c r="G17" s="7" t="s">
        <v>27</v>
      </c>
      <c r="H17" s="10"/>
      <c r="J17" s="14">
        <f t="shared" si="2"/>
        <v>19</v>
      </c>
      <c r="K17" s="14">
        <f t="shared" si="0"/>
        <v>47.5</v>
      </c>
      <c r="L17">
        <f t="shared" si="1"/>
        <v>95</v>
      </c>
    </row>
    <row r="18" spans="1:12" ht="15" thickBot="1" x14ac:dyDescent="0.4">
      <c r="A18" s="11" t="s">
        <v>21</v>
      </c>
      <c r="B18" s="23">
        <v>0</v>
      </c>
      <c r="C18" s="23">
        <v>0</v>
      </c>
      <c r="D18" s="8" t="s">
        <v>3</v>
      </c>
      <c r="E18" s="12" t="s">
        <v>3</v>
      </c>
      <c r="F18" s="11" t="s">
        <v>30</v>
      </c>
      <c r="G18" s="12" t="s">
        <v>3</v>
      </c>
      <c r="H18" s="7" t="s">
        <v>42</v>
      </c>
      <c r="J18" s="14">
        <f>0.2*L18</f>
        <v>2</v>
      </c>
      <c r="K18" s="14">
        <f>0.5*10</f>
        <v>5</v>
      </c>
      <c r="L18">
        <f>10</f>
        <v>10</v>
      </c>
    </row>
    <row r="19" spans="1:12" ht="23" thickBot="1" x14ac:dyDescent="0.4">
      <c r="A19" s="7" t="s">
        <v>22</v>
      </c>
      <c r="B19" s="23">
        <v>0.05</v>
      </c>
      <c r="C19" s="23">
        <v>0.03</v>
      </c>
      <c r="D19" s="8">
        <v>2900</v>
      </c>
      <c r="E19" s="9" t="s">
        <v>3</v>
      </c>
      <c r="F19" s="7" t="s">
        <v>26</v>
      </c>
      <c r="G19" s="7" t="s">
        <v>49</v>
      </c>
      <c r="H19" s="10"/>
      <c r="J19" s="14">
        <f>0.2*D19</f>
        <v>580</v>
      </c>
      <c r="K19" s="14">
        <f t="shared" si="0"/>
        <v>1450</v>
      </c>
      <c r="L19">
        <f t="shared" si="1"/>
        <v>2900</v>
      </c>
    </row>
    <row r="20" spans="1:12" ht="23" thickBot="1" x14ac:dyDescent="0.4">
      <c r="A20" s="11" t="s">
        <v>23</v>
      </c>
      <c r="B20" s="23">
        <v>0</v>
      </c>
      <c r="C20" s="23">
        <v>0</v>
      </c>
      <c r="D20" s="8">
        <v>1400</v>
      </c>
      <c r="E20" s="12" t="s">
        <v>3</v>
      </c>
      <c r="F20" s="11" t="s">
        <v>26</v>
      </c>
      <c r="G20" s="11" t="s">
        <v>37</v>
      </c>
      <c r="H20" s="13"/>
      <c r="J20" s="14">
        <f>0.2*D20</f>
        <v>280</v>
      </c>
      <c r="K20" s="14">
        <f t="shared" si="0"/>
        <v>700</v>
      </c>
      <c r="L20">
        <f t="shared" si="1"/>
        <v>1400</v>
      </c>
    </row>
    <row r="21" spans="1:12" ht="15" thickBot="1" x14ac:dyDescent="0.4">
      <c r="A21" s="7" t="s">
        <v>24</v>
      </c>
      <c r="B21" s="23">
        <v>0.32</v>
      </c>
      <c r="C21" s="23">
        <v>0.15</v>
      </c>
      <c r="D21" s="8" t="s">
        <v>3</v>
      </c>
      <c r="E21" s="7" t="s">
        <v>3</v>
      </c>
      <c r="F21" s="7" t="s">
        <v>31</v>
      </c>
      <c r="G21" s="9" t="s">
        <v>3</v>
      </c>
      <c r="H21" s="7" t="s">
        <v>25</v>
      </c>
      <c r="J21" s="14">
        <f>0.2*L21</f>
        <v>40</v>
      </c>
      <c r="K21" s="14">
        <f>0.5*200</f>
        <v>100</v>
      </c>
      <c r="L21">
        <f>200</f>
        <v>200</v>
      </c>
    </row>
    <row r="22" spans="1:12" x14ac:dyDescent="0.35">
      <c r="K22" s="14"/>
    </row>
    <row r="23" spans="1:12" ht="58.75" customHeight="1" thickBot="1" x14ac:dyDescent="0.4"/>
    <row r="24" spans="1:12" ht="15" thickBot="1" x14ac:dyDescent="0.4">
      <c r="F24" s="15" t="s">
        <v>68</v>
      </c>
      <c r="G24" s="16" t="s">
        <v>54</v>
      </c>
      <c r="H24" s="16" t="s">
        <v>55</v>
      </c>
    </row>
    <row r="25" spans="1:12" ht="15" thickBot="1" x14ac:dyDescent="0.4">
      <c r="F25" s="17" t="s">
        <v>56</v>
      </c>
      <c r="G25" s="18" t="s">
        <v>57</v>
      </c>
      <c r="H25" s="18" t="s">
        <v>58</v>
      </c>
    </row>
    <row r="26" spans="1:12" ht="15" thickBot="1" x14ac:dyDescent="0.4">
      <c r="F26" s="19" t="s">
        <v>59</v>
      </c>
      <c r="G26" s="18" t="s">
        <v>60</v>
      </c>
      <c r="H26" s="18" t="s">
        <v>61</v>
      </c>
    </row>
    <row r="27" spans="1:12" ht="15" thickBot="1" x14ac:dyDescent="0.4">
      <c r="F27" s="20" t="s">
        <v>62</v>
      </c>
      <c r="G27" s="18" t="s">
        <v>63</v>
      </c>
      <c r="H27" s="18" t="s">
        <v>64</v>
      </c>
    </row>
    <row r="28" spans="1:12" ht="15" thickBot="1" x14ac:dyDescent="0.4">
      <c r="F28" s="21" t="s">
        <v>65</v>
      </c>
      <c r="G28" s="18" t="s">
        <v>66</v>
      </c>
      <c r="H28" s="18" t="s">
        <v>67</v>
      </c>
    </row>
  </sheetData>
  <conditionalFormatting sqref="B2:B21">
    <cfRule type="expression" dxfId="7" priority="1">
      <formula>(B2&lt;J2)</formula>
    </cfRule>
    <cfRule type="expression" dxfId="6" priority="4">
      <formula>(B2&gt;L2)</formula>
    </cfRule>
    <cfRule type="expression" dxfId="5" priority="6">
      <formula>(B2&lt;K2)</formula>
    </cfRule>
    <cfRule type="expression" dxfId="4" priority="10">
      <formula>(B2&lt;L2)</formula>
    </cfRule>
  </conditionalFormatting>
  <conditionalFormatting sqref="C2:C21">
    <cfRule type="expression" dxfId="3" priority="2">
      <formula>(C2&lt;J2)</formula>
    </cfRule>
    <cfRule type="expression" dxfId="2" priority="5">
      <formula>(C2&gt;L2)</formula>
    </cfRule>
    <cfRule type="expression" dxfId="1" priority="8">
      <formula>(C2&lt;K2)</formula>
    </cfRule>
    <cfRule type="expression" dxfId="0" priority="9">
      <formula>(C2&lt;L2)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Burning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Liang LIM (NEA)</dc:creator>
  <cp:lastModifiedBy>David HUANG (NEA)</cp:lastModifiedBy>
  <cp:lastPrinted>2025-05-22T08:19:30Z</cp:lastPrinted>
  <dcterms:created xsi:type="dcterms:W3CDTF">2015-06-05T18:17:20Z</dcterms:created>
  <dcterms:modified xsi:type="dcterms:W3CDTF">2025-11-01T03:44:21Z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db910-0838-4c35-bb3a-1ee21aa199ac_Enabled">
    <vt:lpwstr>true</vt:lpwstr>
  </property>
  <property fmtid="{D5CDD505-2E9C-101B-9397-08002B2CF9AE}" pid="3" name="MSIP_Label_153db910-0838-4c35-bb3a-1ee21aa199ac_SetDate">
    <vt:lpwstr>2025-10-02T01:31:51Z</vt:lpwstr>
  </property>
  <property fmtid="{D5CDD505-2E9C-101B-9397-08002B2CF9AE}" pid="4" name="MSIP_Label_153db910-0838-4c35-bb3a-1ee21aa199ac_Method">
    <vt:lpwstr>Privileged</vt:lpwstr>
  </property>
  <property fmtid="{D5CDD505-2E9C-101B-9397-08002B2CF9AE}" pid="5" name="MSIP_Label_153db910-0838-4c35-bb3a-1ee21aa199ac_Name">
    <vt:lpwstr>Sensitive Normal</vt:lpwstr>
  </property>
  <property fmtid="{D5CDD505-2E9C-101B-9397-08002B2CF9AE}" pid="6" name="MSIP_Label_153db910-0838-4c35-bb3a-1ee21aa199ac_SiteId">
    <vt:lpwstr>0b11c524-9a1c-4e1b-84cb-6336aefc2243</vt:lpwstr>
  </property>
  <property fmtid="{D5CDD505-2E9C-101B-9397-08002B2CF9AE}" pid="7" name="MSIP_Label_153db910-0838-4c35-bb3a-1ee21aa199ac_ActionId">
    <vt:lpwstr>8bf41c61-dfab-4aed-a8f1-92061b6b7d3b</vt:lpwstr>
  </property>
  <property fmtid="{D5CDD505-2E9C-101B-9397-08002B2CF9AE}" pid="8" name="MSIP_Label_153db910-0838-4c35-bb3a-1ee21aa199ac_ContentBits">
    <vt:lpwstr>0</vt:lpwstr>
  </property>
</Properties>
</file>